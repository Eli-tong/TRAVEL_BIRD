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3660" firstSheet="1" activeTab="3"/>
  </bookViews>
  <sheets>
    <sheet name="TAM_SAM_SOM" sheetId="1" r:id="rId1"/>
    <sheet name="Competitor_Analysis" sheetId="2" r:id="rId2"/>
    <sheet name="USP_Hypothesis" sheetId="3" r:id="rId3"/>
    <sheet name="Sources_Evid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<sst xmlns="http://schemas.openxmlformats.org/spreadsheetml/2006/main" count="390" uniqueCount="338">
  <si>
    <t>TRAVEL BIRD Week 3 Market Sizing</t>
  </si>
  <si>
    <t>Formal output A1: source-backed TAM, visible formulas, explicit assumptions, and a Year-1 reality check.</t>
  </si>
  <si>
    <t>How to read: blue/green = sourced or calculated; amber = team input or illustrative assumption; red status = missing validation.</t>
  </si>
  <si>
    <t>1. TAM → SAM → SOM chain (checkpoint calculation)</t>
  </si>
  <si>
    <t>Layer</t>
  </si>
  <si>
    <t>Definition</t>
  </si>
  <si>
    <t>Driver 1</t>
  </si>
  <si>
    <t>Value</t>
  </si>
  <si>
    <t>Driver 2</t>
  </si>
  <si>
    <t>Visible formula</t>
  </si>
  <si>
    <t>Result (RMB bn/year)</t>
  </si>
  <si>
    <t>Status</t>
  </si>
  <si>
    <t>Evidence</t>
  </si>
  <si>
    <t>Validation still needed</t>
  </si>
  <si>
    <t>TAM</t>
  </si>
  <si>
    <t>China mobile casual-game market, latest full-year revenue</t>
  </si>
  <si>
    <t>2025 market revenue (RMB bn)</t>
  </si>
  <si>
    <t>n.a.</t>
  </si>
  <si>
    <t>Source input</t>
  </si>
  <si>
    <t>Source-backed</t>
  </si>
  <si>
    <t>EV-W3-002</t>
  </si>
  <si>
    <t>Confirm that a revenue-based TAM is acceptable for the supervisor</t>
  </si>
  <si>
    <t>SAM</t>
  </si>
  <si>
    <t>Portion relevant to cozy / passive / pet-companion play</t>
  </si>
  <si>
    <t>TAM (RMB bn)</t>
  </si>
  <si>
    <t>Relevant segment share</t>
  </si>
  <si>
    <t>TAM × relevant segment share</t>
  </si>
  <si>
    <t>EV-W3-002 + team assumption</t>
  </si>
  <si>
    <t>Find a China-specific segment share, or validate a defensible proxy</t>
  </si>
  <si>
    <t>SOM</t>
  </si>
  <si>
    <t>Year-1 revenue realistically capturable by this team</t>
  </si>
  <si>
    <t>SAM (RMB bn)</t>
  </si>
  <si>
    <t>Year-1 capture rate</t>
  </si>
  <si>
    <t>SAM × Year-1 capture rate</t>
  </si>
  <si>
    <t>Team assumption</t>
  </si>
  <si>
    <t>Name channels, estimate reachable users, then validate conversion and ARPPU</t>
  </si>
  <si>
    <t>2. Inputs the team must validate before claiming a single SAM/SOM</t>
  </si>
  <si>
    <t>Input</t>
  </si>
  <si>
    <t>Why it matters</t>
  </si>
  <si>
    <t>Current value</t>
  </si>
  <si>
    <t>How to validate</t>
  </si>
  <si>
    <t>Owner</t>
  </si>
  <si>
    <t>Due</t>
  </si>
  <si>
    <t>Evidence ID</t>
  </si>
  <si>
    <t>Decision rule</t>
  </si>
  <si>
    <t>Notes</t>
  </si>
  <si>
    <t>Checkpoint use</t>
  </si>
  <si>
    <t>Narrows casual games to cozy/passive/pet-companion demand</t>
  </si>
  <si>
    <t>Pending validation</t>
  </si>
  <si>
    <t>Search credible category data; if unavailable, survey target users and retain a range</t>
  </si>
  <si>
    <t>Do not use a single value without evidence</t>
  </si>
  <si>
    <t>Public China-specific data not yet found</t>
  </si>
  <si>
    <t>Explain why SAM remains a range</t>
  </si>
  <si>
    <t>Named Year-1 acquisition channels</t>
  </si>
  <si>
    <t>Makes reachability concrete</t>
  </si>
  <si>
    <t>List the actual channels the team can use, such as Xiaohongshu, Bilibili, campus communities</t>
  </si>
  <si>
    <t>At least one channel with a measurable audience</t>
  </si>
  <si>
    <t>Channel names are hypotheses until access is confirmed</t>
  </si>
  <si>
    <t>Supervisor will challenge reachability</t>
  </si>
  <si>
    <t>Reachable audience by channel</t>
  </si>
  <si>
    <t>Supports bottom-up SOM</t>
  </si>
  <si>
    <t>Record current owned audience, partner reach, or campaign budget and expected impressions</t>
  </si>
  <si>
    <t>Use auditable counts, not total platform users</t>
  </si>
  <si>
    <t>Avoid double-counting overlapping audiences</t>
  </si>
  <si>
    <t>Show bottom-up reality check</t>
  </si>
  <si>
    <t>Install/start and paying conversion</t>
  </si>
  <si>
    <t>Turns reach into users and revenue</t>
  </si>
  <si>
    <t>Prototype test, waitlist, or comparable benchmark with source</t>
  </si>
  <si>
    <t>Keep each funnel step visible</t>
  </si>
  <si>
    <t>No conversion evidence yet</t>
  </si>
  <si>
    <t>Replace guessed capture rate</t>
  </si>
  <si>
    <t>Annual revenue per payer (ARPPU)</t>
  </si>
  <si>
    <t>Required for revenue-based bottom-up SOM</t>
  </si>
  <si>
    <t>Test monetisation willingness or cite a comparable benchmark</t>
  </si>
  <si>
    <t>State business model before using ARPPU</t>
  </si>
  <si>
    <t>Business model is not yet validated</t>
  </si>
  <si>
    <t>Reconcile against top-down SOM</t>
  </si>
  <si>
    <t>3. Bottom-up Year-1 SOM cross-check (leave blank until evidence exists)</t>
  </si>
  <si>
    <t>Unit</t>
  </si>
  <si>
    <t>Team input</t>
  </si>
  <si>
    <t>Evidence / channel</t>
  </si>
  <si>
    <t>Output</t>
  </si>
  <si>
    <t>Formula</t>
  </si>
  <si>
    <t>Result</t>
  </si>
  <si>
    <t>Reachable audience in Year 1</t>
  </si>
  <si>
    <t>people</t>
  </si>
  <si>
    <t>Bottom-up SOM (RMB bn/year)</t>
  </si>
  <si>
    <t>Reachable audience × install × paying × ARPPU ÷ 1bn</t>
  </si>
  <si>
    <t>Install/start conversion</t>
  </si>
  <si>
    <t>% of reached audience</t>
  </si>
  <si>
    <t>Gap vs top-down SOM (RMB bn/year)</t>
  </si>
  <si>
    <t>Top-down SOM − bottom-up SOM</t>
  </si>
  <si>
    <t>Paying conversion</t>
  </si>
  <si>
    <t>% of installed users</t>
  </si>
  <si>
    <t>Annual revenue per payer</t>
  </si>
  <si>
    <t>RMB / payer / year</t>
  </si>
  <si>
    <t>4. Illustrative sensitivity only (not a forecast and not evidence)</t>
  </si>
  <si>
    <t>Scenario</t>
  </si>
  <si>
    <t>Segment share</t>
  </si>
  <si>
    <t>SOM (RMB m)</t>
  </si>
  <si>
    <t>Evidence status</t>
  </si>
  <si>
    <t>Use</t>
  </si>
  <si>
    <t>Lower illustration</t>
  </si>
  <si>
    <t>Unvalidated scenario</t>
  </si>
  <si>
    <t>Shows formula sensitivity only</t>
  </si>
  <si>
    <t>Working illustration</t>
  </si>
  <si>
    <t>Replace with research before claiming</t>
  </si>
  <si>
    <t>Upper illustration</t>
  </si>
  <si>
    <t>Not a target or forecast</t>
  </si>
  <si>
    <t>Current conclusion</t>
  </si>
  <si>
    <t>TAM is source-backed. A single SAM and SOM are not yet defensible. Bring the visible chain, the sensitivity range, and the missing-input plan to checkpoint.</t>
  </si>
  <si>
    <t>TRAVEL BIRD Week 3 Competitor Comparison</t>
  </si>
  <si>
    <t>Formal output A2: China-mainland alternatives are primary; popular international products are supporting benchmarks. Facts and team analysis are separated.</t>
  </si>
  <si>
    <t>The announced Travel Frog: China Tour shutdown is a market trigger and direct benchmark, but it does not count as one of the three currently acquirable mainland alternatives.</t>
  </si>
  <si>
    <t>Competitor / substitute</t>
  </si>
  <si>
    <t>Market priority / role</t>
  </si>
  <si>
    <t>Operating status (fact)</t>
  </si>
  <si>
    <t>Official positioning / offer (fact)</t>
  </si>
  <si>
    <t>Core mechanics (fact)</t>
  </si>
  <si>
    <t>Price / model (fact)</t>
  </si>
  <si>
    <t>Evidence IDs</t>
  </si>
  <si>
    <t>Strength (our analysis)</t>
  </si>
  <si>
    <t>Potential gap relative to Travel Bird (our analysis)</t>
  </si>
  <si>
    <t>Similarity to Travel Bird core loop</t>
  </si>
  <si>
    <t>Why a user may choose it today</t>
  </si>
  <si>
    <t>Current operating signal</t>
  </si>
  <si>
    <t>Reviewed</t>
  </si>
  <si>
    <t>旅行青蛙·中国之旅</t>
  </si>
  <si>
    <t>China market trigger / withdrawing direct benchmark</t>
  </si>
  <si>
    <t>Service remains for existing users only; downloads, registration and top-up closed on 8 Sep 2026; shutdown scheduled for 8 Dec 2026</t>
  </si>
  <si>
    <t>Officially licensed China version of Travel Frog; a placement/raising game in which the frog lives and sometimes travels</t>
  </si>
  <si>
    <t>Prepare food and belongings; frog travels independently; wait for postcards, souvenirs and return</t>
  </si>
  <si>
    <t>Top-up stopped; unavailable to new users</t>
  </si>
  <si>
    <t>EV-W3-003</t>
  </si>
  <si>
    <t>The closest proven China-market reference for the exact prepare–leave–wait–return loop and localised travel content</t>
  </si>
  <si>
    <t>It is exiting the market and cannot acquire new users; the opportunity created by its closure still requires demand validation</t>
  </si>
  <si>
    <t>Very high, but no longer acquirable</t>
  </si>
  <si>
    <t>Existing players may continue for familiarity and nostalgia until shutdown</t>
  </si>
  <si>
    <t>Official TapTap shutdown notice dated 8 Sep 2026</t>
  </si>
  <si>
    <t>2026-09-23</t>
  </si>
  <si>
    <t>遇见你的猫</t>
  </si>
  <si>
    <t>China-mainland primary substitute</t>
  </si>
  <si>
    <t>Currently listed and updated</t>
  </si>
  <si>
    <t>A warm interactive story and home life with a cat-eared companion</t>
  </si>
  <si>
    <t>Interactive comics and choices; home decoration; pet care; outfits; social-feed style content; claw machine</t>
  </si>
  <si>
    <t>Free; ads and in-app purchases</t>
  </si>
  <si>
    <t>EV-W3-004</t>
  </si>
  <si>
    <t>Strong emotional storytelling, character attachment, home customisation and a large established audience</t>
  </si>
  <si>
    <t>Requires more direct story/home interactions; autonomous travel, absence and return are not the central relationship loop</t>
  </si>
  <si>
    <t>Medium</t>
  </si>
  <si>
    <t>Offers Chinese-language emotional companionship, story progression and home-building now</t>
  </si>
  <si>
    <t>TapTap version 3.6.24 updated 23 Aug 2026</t>
  </si>
  <si>
    <t>动物餐厅</t>
  </si>
  <si>
    <t>A warm idle restaurant-management game beginning with a stray cat</t>
  </si>
  <si>
    <t>Recipes; furniture; cat staff; customer conversations and letters; collection and ongoing events</t>
  </si>
  <si>
    <t>Free; in-app purchases</t>
  </si>
  <si>
    <t>EV-W3-005</t>
  </si>
  <si>
    <t>Mature warm animal world, idle-management habit loop, frequent live events and strong mainland availability</t>
  </si>
  <si>
    <t>Management, collection and event progression are central; one independent companion's travel-and-return relationship is not</t>
  </si>
  <si>
    <t>Provides a polished, familiar Chinese cozy/idle routine with continuous content</t>
  </si>
  <si>
    <t>TapTap update 12.40 dated 9 Sep 2026 and active seventh-anniversary events</t>
  </si>
  <si>
    <t>桃源深处有人家</t>
  </si>
  <si>
    <t>China-mainland broader substitute</t>
  </si>
  <si>
    <t>Currently listed and actively updated</t>
  </si>
  <si>
    <t>A relaxing Chinese-style pastoral management game</t>
  </si>
  <si>
    <t>Farming; building; collecting; stories; family/villagers; cute radish companions; new pet features</t>
  </si>
  <si>
    <t>Free-to-play; in-app purchases</t>
  </si>
  <si>
    <t>EV-W3-006</t>
  </si>
  <si>
    <t>High-production Chinese cozy aesthetic, large content breadth, strong cultural localisation and platform support</t>
  </si>
  <si>
    <t>More active and system-heavy farming/building progression; companionship is one part of a broader management game</t>
  </si>
  <si>
    <t>Low to medium</t>
  </si>
  <si>
    <t>Offers a deep, localised stress-relief world with long-term progression</t>
  </si>
  <si>
    <t>TapTap listed a new version and events on 23 Sep 2026</t>
  </si>
  <si>
    <t>Tsuki's Odyssey</t>
  </si>
  <si>
    <t>International mechanism benchmark</t>
  </si>
  <si>
    <t>A passive adventure game in Mushroom Village</t>
  </si>
  <si>
    <t>Autonomous free-spirit character; decorate home; make friends; fish; check back for new events</t>
  </si>
  <si>
    <t>EV-W3-007</t>
  </si>
  <si>
    <t>Mature passive loop, autonomous character, rich village activities and established global audience</t>
  </si>
  <si>
    <t>The official offer centres on village life, decorating, socialising and fishing rather than a travel relationship built around departure, absence and return</t>
  </si>
  <si>
    <t>High</t>
  </si>
  <si>
    <t>Already delivers low-pressure check-ins and an autonomous companion</t>
  </si>
  <si>
    <t>Google Play listing updated 17 Mar 2026; active event shown at review</t>
  </si>
  <si>
    <t>Neko Atsume 2</t>
  </si>
  <si>
    <t>International popular benchmark</t>
  </si>
  <si>
    <t>Currently supported and updated</t>
  </si>
  <si>
    <t>Casual pet simulation / kitty collector</t>
  </si>
  <si>
    <t>Place goodies and snacks; observe visiting cats; collect photos/treasures; visit other yards; optional Helper/Myneko features</t>
  </si>
  <si>
    <t>Free; ads, in-app purchases and optional subscription</t>
  </si>
  <si>
    <t>EV-W3-008</t>
  </si>
  <si>
    <t>Extremely low-pressure observation and collection with a globally recognised pet-companion IP</t>
  </si>
  <si>
    <t>Yard-based attraction and collection are central; autonomous travel and narrative return are not the main loop</t>
  </si>
  <si>
    <t>Simple pet observation with minimal commitment</t>
  </si>
  <si>
    <t>Official version 2.27.0 update notice dated 30 Jul 2026</t>
  </si>
  <si>
    <t>Key competitive conclusion</t>
  </si>
  <si>
    <t>In mainland China, users can already choose strong cozy substitutes built around story/home life, idle management, and pastoral simulation. Travel Frog: China Tour creates a timely market gap but is no longer a new-user alternative. Travel Bird's defensible hypothesis is therefore narrower: make autonomous travel, waiting, return and personal feedback the primary companionship loop. Tsuki's Odyssey remains the hardest international mechanism comparison.</t>
  </si>
  <si>
    <t>TRAVEL BIRD USP Hypothesis v1</t>
  </si>
  <si>
    <t>Formal output A3: a falsifiable reason a target user may choose Travel Bird over the strongest real alternative.</t>
  </si>
  <si>
    <t>1. Hypothesis structure</t>
  </si>
  <si>
    <t>Field</t>
  </si>
  <si>
    <t>Draft v1</t>
  </si>
  <si>
    <t>Target user</t>
  </si>
  <si>
    <t>Mainland Chinese players who value low-pressure asynchronous companionship, especially current or former Travel Frog: China Tour players affected by its announced shutdown</t>
  </si>
  <si>
    <t>Current need / workaround</t>
  </si>
  <si>
    <t>They can choose active mainland cozy games focused on story/home life, idle management, or pastoral building, but those alternatives may not reproduce the specific feeling of preparing for an independent companion's journey and waiting for its return</t>
  </si>
  <si>
    <t>Category</t>
  </si>
  <si>
    <t>Cozy asynchronous companion game</t>
  </si>
  <si>
    <t>Core benefit</t>
  </si>
  <si>
    <t>A sense of connection created through an autonomous bird's departure, absence, return, and personal stories or surprises</t>
  </si>
  <si>
    <t>Strongest named alternatives</t>
  </si>
  <si>
    <t>Mainland: Travel Frog: China Tour (withdrawing), Meet Your Cat, Animal Restaurant. International mechanism benchmark: Tsuki's Odyssey</t>
  </si>
  <si>
    <t>Evidence-based comparison</t>
  </si>
  <si>
    <t>Active mainland substitutes centre on home/story, restaurant management, or pastoral building. Tsuki centres on Mushroom Village life, decoration, friends and fishing. Travel Frog: China Tour most closely matches the travel loop but has closed downloads and will stop operation on 8 Dec 2026.</t>
  </si>
  <si>
    <t>USP hypothesis v1</t>
  </si>
  <si>
    <t>For mainland Chinese players who value the low-pressure feeling of preparing for an independent companion's journey and waiting for its return, Travel Bird is a cozy asynchronous companion game in which an autonomous bird leaves, travels and returns with player-shaped stories and surprises. Following the announced shutdown of Travel Frog: China Tour, it aims to provide a travel-and-return companionship loop that active mainland substitutes such as Animal Restaurant and Meet Your Cat do not centre on; unlike Tsuki's Odyssey, travel absence and return — not village-life decoration — is the primary experience.</t>
  </si>
  <si>
    <t>Hypothesis only. The shutdown and competitor offers are sourced; demand transfer, local preference and willingness to choose Travel Bird are not yet validated.</t>
  </si>
  <si>
    <t>2. Falsification test for the next validation session</t>
  </si>
  <si>
    <t>Test</t>
  </si>
  <si>
    <t>Participants</t>
  </si>
  <si>
    <t>Stimulus</t>
  </si>
  <si>
    <t>Primary measure</t>
  </si>
  <si>
    <t>Pass threshold</t>
  </si>
  <si>
    <t>Evidence that would weaken / falsify it</t>
  </si>
  <si>
    <t>Evidence to save</t>
  </si>
  <si>
    <t>Concept preference and explanation test</t>
  </si>
  <si>
    <t>5 mainland target users who know or played Travel Frog: China Tour and have used at least one active cozy substitute</t>
  </si>
  <si>
    <t>Show the Travel Bird demo/core-loop storyboard beside concise descriptions of Animal Restaurant, Meet Your Cat and Tsuki's Odyssey</t>
  </si>
  <si>
    <t>Preference plus unaided explanation of why departure–absence–return feels different and whether they would switch after the shutdown</t>
  </si>
  <si>
    <t>At least 3 of 5 prefer Travel Bird for this companionship need, can explain the loop, and state a credible reason to try or switch</t>
  </si>
  <si>
    <t>Fewer than 3 of 5 prefer it; users see no meaningful difference; or they choose the richer management/story alternatives instead</t>
  </si>
  <si>
    <t>Dated notes/recording consent, anonymised quotes, preference count, reasons, and contrary evidence IDs</t>
  </si>
  <si>
    <t>Pending user validation</t>
  </si>
  <si>
    <t>3. Claim audit: fact vs interpretation vs assumption</t>
  </si>
  <si>
    <t>Claim</t>
  </si>
  <si>
    <t>Type</t>
  </si>
  <si>
    <t>Current basis</t>
  </si>
  <si>
    <t>Next action</t>
  </si>
  <si>
    <t>Travel Frog: China Tour closed downloads/registration/top-up and will stop operation on 8 Dec 2026</t>
  </si>
  <si>
    <t>Official/public fact</t>
  </si>
  <si>
    <t>Official TapTap shutdown notice</t>
  </si>
  <si>
    <t>Retain</t>
  </si>
  <si>
    <t>Travel Bird's current demo lets the player choose a destination and food before departure</t>
  </si>
  <si>
    <t>Internal product fact</t>
  </si>
  <si>
    <t>Live team demo reviewed on 23 Sep 2026</t>
  </si>
  <si>
    <t>EV-W3-009</t>
  </si>
  <si>
    <t>Retain and document version</t>
  </si>
  <si>
    <t>Active mainland substitutes do not centre their full experience on departure–absence–return</t>
  </si>
  <si>
    <t>Competitive interpretation</t>
  </si>
  <si>
    <t>Mainland competitor comparison</t>
  </si>
  <si>
    <t>EV-W3-004 to EV-W3-006</t>
  </si>
  <si>
    <t>Test whether users recognise the distinction</t>
  </si>
  <si>
    <t>Players affected by the shutdown will value the travel-return loop enough to choose Travel Bird</t>
  </si>
  <si>
    <t>Unvalidated assumption</t>
  </si>
  <si>
    <t>No fresh switching-intent evidence yet</t>
  </si>
  <si>
    <t>Pending</t>
  </si>
  <si>
    <t>Run the test above</t>
  </si>
  <si>
    <t>Week 3 Sources and Evidence Register</t>
  </si>
  <si>
    <t>One row per source or project artefact. Facts may be cited as evidence; interpretations must remain labelled as analysis or hypothesis.</t>
  </si>
  <si>
    <t>Evidence type</t>
  </si>
  <si>
    <t>Claim / fact captured</t>
  </si>
  <si>
    <t>Source title</t>
  </si>
  <si>
    <t>Publisher / owner</t>
  </si>
  <si>
    <t>Source / update date</t>
  </si>
  <si>
    <t>Accessed</t>
  </si>
  <si>
    <t>URL / file</t>
  </si>
  <si>
    <t>Quality and limitations</t>
  </si>
  <si>
    <t>Used in</t>
  </si>
  <si>
    <t>EV-W3-001</t>
  </si>
  <si>
    <t>Course primary source</t>
  </si>
  <si>
    <t>Week 3 requires a sourced TAM/SAM/SOM workbook with visible formulas, at least 3 real alternatives, and a testable USP; Appendix A records weekly progress</t>
  </si>
  <si>
    <t>ENT303TC Week 3 Market &amp; Competitor Analysis</t>
  </si>
  <si>
    <t>ENT303TC course team</t>
  </si>
  <si>
    <t>S1 W3, 2026</t>
  </si>
  <si>
    <t>ENT303TC_Week3_Market_Competitor_Analysis.pdf</t>
  </si>
  <si>
    <t>Primary source for course requirements; not market evidence</t>
  </si>
  <si>
    <t>Workbook structure; Weeklog</t>
  </si>
  <si>
    <t>Industry primary source</t>
  </si>
  <si>
    <r>
      <t>2025 China mobile casual-game market revenue was RMB 34.265bn (342.65</t>
    </r>
    <r>
      <rPr>
        <sz val="10"/>
        <color rgb="FF1F2933"/>
        <rFont val="宋体-简"/>
        <charset val="134"/>
      </rPr>
      <t>亿元</t>
    </r>
    <r>
      <rPr>
        <sz val="10"/>
        <color rgb="FF1F2933"/>
        <rFont val="Arial"/>
        <charset val="134"/>
      </rPr>
      <t>), up 9.56% year on year</t>
    </r>
  </si>
  <si>
    <t>2025 China Game Industry Report — official release summary</t>
  </si>
  <si>
    <t>China Audio-video and Digital Publishing Association</t>
  </si>
  <si>
    <t>2025-12-19</t>
  </si>
  <si>
    <t>https://www.cadpa.org.cn/3277/202512/41770.html</t>
  </si>
  <si>
    <t>Strong TAM baseline. It covers all mobile casual games, not the narrower cozy/passive companion segment</t>
  </si>
  <si>
    <t>01_TAM_SAM_SOM</t>
  </si>
  <si>
    <t>Official China-market notice</t>
  </si>
  <si>
    <t>Travel Frog: China Tour closed downloads, new registration and top-up on 8 Sep 2026 and will stop operation on 8 Dec 2026 because the IP licence cooperation expired</t>
  </si>
  <si>
    <t>Travel Frog: China Tour shutdown notice</t>
  </si>
  <si>
    <t>Travel Frog: China Tour operations team / TapTap</t>
  </si>
  <si>
    <t>2026-09-08</t>
  </si>
  <si>
    <t>https://www.taptap.cn/moment/846391404946000919</t>
  </si>
  <si>
    <t>Primary evidence for the market trigger. It proves the closure, not that users will switch to Travel Bird</t>
  </si>
  <si>
    <t>02_Competitor_Analysis; 03_USP_Hypothesis</t>
  </si>
  <si>
    <t>Mainland store/product listing</t>
  </si>
  <si>
    <t>Meet Your Cat combines interactive comics and choices, a home, pet care, outfits, social-feed content and a claw machine; current versions use ads and in-app purchases</t>
  </si>
  <si>
    <t>Meet Your Cat — TapTap and Google Play listings</t>
  </si>
  <si>
    <t>BadMouse / TapTap / Google Play</t>
  </si>
  <si>
    <t>TapTap updated 2026-08-23</t>
  </si>
  <si>
    <t>https://www.taptap.cn/app/211803/all-info</t>
  </si>
  <si>
    <t>Strong current China-language product evidence. It does not prove that its users overlap with Travel Bird's target segment</t>
  </si>
  <si>
    <t>Animal Restaurant is a warm idle management game with recipes, furniture, cat staff, customer stories and letters; it is free with in-app purchases</t>
  </si>
  <si>
    <t>Animal Restaurant — TapTap listing</t>
  </si>
  <si>
    <t>Two Miles Technology / TapTap</t>
  </si>
  <si>
    <t>Updated 2026-09-09</t>
  </si>
  <si>
    <t>https://www.taptap.cn/app/175600/all-info</t>
  </si>
  <si>
    <t>Strong mainland operating and mechanic evidence. It is a substitute for time and mood, not a direct travel-companion clone</t>
  </si>
  <si>
    <t>Taoyuan: A Tranquil Countryside is a relaxing Chinese-style pastoral management game with farming, building, stories and cute companions; it is free with in-app purchases</t>
  </si>
  <si>
    <t>桃源深处有人家 — TapTap listing</t>
  </si>
  <si>
    <t>51 Studio / Tencent Aurora Studios / TapTap</t>
  </si>
  <si>
    <t>Updated 2026-09-23</t>
  </si>
  <si>
    <t>https://www.taptap.cn/app/202416</t>
  </si>
  <si>
    <t>Strong mainland current operating signal and broader cozy substitute. It is less mechanically similar to Travel Bird</t>
  </si>
  <si>
    <t>02_Competitor_Analysis</t>
  </si>
  <si>
    <t>International official store listing</t>
  </si>
  <si>
    <t>Tsuki's Odyssey is positioned as a passive adventure; Tsuki is a free spirit who moves independently; mechanics include decorating, friends, fishing and checking back</t>
  </si>
  <si>
    <t>Tsuki's Odyssey — Google Play</t>
  </si>
  <si>
    <t>HyperBeard / Google Play</t>
  </si>
  <si>
    <t>Updated 2026-03-17</t>
  </si>
  <si>
    <t>https://play.google.com/store/apps/details?id=com.hyperbeard.odyssey&amp;hl=en_US</t>
  </si>
  <si>
    <t>Strong international mechanism benchmark. Store wording does not prove mainland availability or user preference</t>
  </si>
  <si>
    <t>International official product/update source</t>
  </si>
  <si>
    <t>Neko Atsume 2 is a casual pet simulation using items, visiting cats, collection, yard visits and optional support features; it was actively updated in July 2026</t>
  </si>
  <si>
    <t>Neko Atsume 2 official site and version 2.27.0 notice</t>
  </si>
  <si>
    <t>Hit-Point</t>
  </si>
  <si>
    <t>Updated 2026-07-30</t>
  </si>
  <si>
    <t>https://www.nekoatsume.com/sp2/index_en.html</t>
  </si>
  <si>
    <t>Useful popular international benchmark. It does not establish current mainland distribution or demand</t>
  </si>
  <si>
    <t>Internal product evidence</t>
  </si>
  <si>
    <t>The live demo presents a bird companion in a treehouse; the travel-bag flow asks the player to choose a destination and food, with food described as affecting travel stories</t>
  </si>
  <si>
    <t>TRAVEL BIRD live demo</t>
  </si>
  <si>
    <t>ENT303TC Group 8</t>
  </si>
  <si>
    <t>Current demo reviewed 2026-09-23</t>
  </si>
  <si>
    <t>https://tranquil-lokum-a62556.netlify.app/</t>
  </si>
  <si>
    <t>Confirms current prototype mechanics only. It is not user validation and does not prove market demand</t>
  </si>
  <si>
    <t>03_USP_Hypothesis</t>
  </si>
  <si>
    <t>Open evidence gaps</t>
  </si>
  <si>
    <t>No reliable public China-specific market share was found for the exact cozy / passive pet-companion niche. Keep SAM as a range or pending assumption.</t>
  </si>
  <si>
    <t>No verified Year-1 reach, conversion, paying rate, or ARPPU exists for Group 8 yet. Do not present a single SOM as a fact.</t>
  </si>
  <si>
    <t>No fresh user test yet proves that players affected by the Travel Frog shutdown will choose Travel Bird over active mainland substitutes or Tsuki's Odyssey.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</si>
</sst>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\¥#,##0"/>
  </numFmts>
  <fonts count="33">
    <font>
      <sz val="11"/>
      <name val="Carlito"/>
      <charset val="134"/>
    </font>
    <font>
      <sz val="10"/>
      <color rgb="FF1F2933"/>
      <name val="Arial"/>
      <charset val="134"/>
    </font>
    <font>
      <b/>
      <sz val="16"/>
      <color rgb="FF18324A"/>
      <name val="Arial"/>
      <charset val="134"/>
    </font>
    <font>
      <i/>
      <sz val="10"/>
      <color rgb="FF52606D"/>
      <name val="Arial"/>
      <charset val="134"/>
    </font>
    <font>
      <b/>
      <sz val="10"/>
      <color rgb="FFFFFFFF"/>
      <name val="Arial"/>
      <charset val="134"/>
    </font>
    <font>
      <b/>
      <sz val="10"/>
      <color rgb="FF18324A"/>
      <name val="Arial"/>
      <charset val="134"/>
    </font>
    <font>
      <sz val="10"/>
      <color rgb="FF9C1C1C"/>
      <name val="Arial"/>
      <charset val="134"/>
    </font>
    <font>
      <b/>
      <sz val="10"/>
      <color rgb="FF9C1C1C"/>
      <name val="Arial"/>
      <charset val="134"/>
    </font>
    <font>
      <sz val="10"/>
      <color rgb="FF7A5200"/>
      <name val="Arial"/>
      <charset val="134"/>
    </font>
    <font>
      <sz val="10"/>
      <color rgb="FF52606D"/>
      <name val="Arial"/>
      <charset val="134"/>
    </font>
    <font>
      <b/>
      <sz val="10"/>
      <color rgb="FF215B3A"/>
      <name val="Arial"/>
      <charset val="134"/>
    </font>
    <font>
      <b/>
      <sz val="10"/>
      <color rgb="FF7A52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1F2933"/>
      <name val="宋体-简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8324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EAF3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DDEF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2F6F8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9D2D9"/>
      </left>
      <right/>
      <top/>
      <bottom style="thin">
        <color rgb="FFC9D2D9"/>
      </bottom>
      <diagonal/>
    </border>
    <border>
      <left/>
      <right/>
      <top/>
      <bottom style="thin">
        <color rgb="FFC9D2D9"/>
      </bottom>
      <diagonal/>
    </border>
    <border>
      <left/>
      <right style="thin">
        <color rgb="FFC9D2D9"/>
      </right>
      <top/>
      <bottom style="thin">
        <color rgb="FFC9D2D9"/>
      </bottom>
      <diagonal/>
    </border>
    <border>
      <left style="thin">
        <color rgb="FFC9D2D9"/>
      </left>
      <right/>
      <top style="thin">
        <color rgb="FFC9D2D9"/>
      </top>
      <bottom style="thin">
        <color rgb="FFC9D2D9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/>
      <top style="thin">
        <color rgb="FFC9D2D9"/>
      </top>
      <bottom/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rgb="FFC9D2D9"/>
      </left>
      <right/>
      <top/>
      <bottom/>
      <diagonal/>
    </border>
    <border>
      <left/>
      <right style="thin">
        <color rgb="FFC9D2D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7" applyNumberFormat="0" applyAlignment="0" applyProtection="0">
      <alignment vertical="center"/>
    </xf>
    <xf numFmtId="0" fontId="22" fillId="10" borderId="18" applyNumberFormat="0" applyAlignment="0" applyProtection="0">
      <alignment vertical="center"/>
    </xf>
    <xf numFmtId="0" fontId="23" fillId="10" borderId="17" applyNumberFormat="0" applyAlignment="0" applyProtection="0">
      <alignment vertical="center"/>
    </xf>
    <xf numFmtId="0" fontId="24" fillId="11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0" fillId="0" borderId="0"/>
  </cellStyleXfs>
  <cellXfs count="56">
    <xf numFmtId="0" fontId="0" fillId="0" borderId="0" xfId="49"/>
    <xf numFmtId="0" fontId="1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3" fillId="0" borderId="0" xfId="49" applyNumberFormat="1" applyFont="1" applyFill="1" applyBorder="1" applyAlignment="1">
      <alignment vertical="top"/>
    </xf>
    <xf numFmtId="0" fontId="1" fillId="0" borderId="1" xfId="49" applyNumberFormat="1" applyFont="1" applyFill="1" applyBorder="1" applyAlignment="1">
      <alignment vertical="top"/>
    </xf>
    <xf numFmtId="0" fontId="4" fillId="2" borderId="2" xfId="49" applyNumberFormat="1" applyFont="1" applyFill="1" applyBorder="1" applyAlignment="1">
      <alignment horizontal="center" vertical="top" wrapText="1"/>
    </xf>
    <xf numFmtId="0" fontId="1" fillId="0" borderId="3" xfId="49" applyNumberFormat="1" applyFont="1" applyFill="1" applyBorder="1" applyAlignment="1">
      <alignment vertical="top" wrapText="1"/>
    </xf>
    <xf numFmtId="0" fontId="1" fillId="0" borderId="4" xfId="49" applyNumberFormat="1" applyFont="1" applyFill="1" applyBorder="1" applyAlignment="1">
      <alignment vertical="top" wrapText="1"/>
    </xf>
    <xf numFmtId="0" fontId="1" fillId="0" borderId="5" xfId="49" applyNumberFormat="1" applyFont="1" applyFill="1" applyBorder="1" applyAlignment="1">
      <alignment vertical="top" wrapText="1"/>
    </xf>
    <xf numFmtId="0" fontId="1" fillId="0" borderId="6" xfId="49" applyNumberFormat="1" applyFont="1" applyFill="1" applyBorder="1" applyAlignment="1">
      <alignment vertical="top" wrapText="1"/>
    </xf>
    <xf numFmtId="0" fontId="1" fillId="0" borderId="7" xfId="49" applyNumberFormat="1" applyFont="1" applyFill="1" applyBorder="1" applyAlignment="1">
      <alignment vertical="top" wrapText="1"/>
    </xf>
    <xf numFmtId="0" fontId="1" fillId="0" borderId="8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top"/>
    </xf>
    <xf numFmtId="0" fontId="6" fillId="3" borderId="9" xfId="49" applyNumberFormat="1" applyFont="1" applyFill="1" applyBorder="1" applyAlignment="1">
      <alignment vertical="top" wrapText="1"/>
    </xf>
    <xf numFmtId="0" fontId="6" fillId="3" borderId="10" xfId="49" applyNumberFormat="1" applyFont="1" applyFill="1" applyBorder="1" applyAlignment="1">
      <alignment vertical="top" wrapText="1"/>
    </xf>
    <xf numFmtId="0" fontId="6" fillId="3" borderId="11" xfId="49" applyNumberFormat="1" applyFont="1" applyFill="1" applyBorder="1" applyAlignment="1">
      <alignment vertical="top" wrapText="1"/>
    </xf>
    <xf numFmtId="0" fontId="6" fillId="3" borderId="12" xfId="49" applyNumberFormat="1" applyFont="1" applyFill="1" applyBorder="1" applyAlignment="1">
      <alignment vertical="top" wrapText="1"/>
    </xf>
    <xf numFmtId="0" fontId="6" fillId="3" borderId="0" xfId="49" applyNumberFormat="1" applyFont="1" applyFill="1" applyBorder="1" applyAlignment="1">
      <alignment vertical="top" wrapText="1"/>
    </xf>
    <xf numFmtId="0" fontId="6" fillId="3" borderId="13" xfId="49" applyNumberFormat="1" applyFont="1" applyFill="1" applyBorder="1" applyAlignment="1">
      <alignment vertical="top" wrapText="1"/>
    </xf>
    <xf numFmtId="0" fontId="6" fillId="3" borderId="3" xfId="49" applyNumberFormat="1" applyFont="1" applyFill="1" applyBorder="1" applyAlignment="1">
      <alignment vertical="top" wrapText="1"/>
    </xf>
    <xf numFmtId="0" fontId="6" fillId="3" borderId="4" xfId="49" applyNumberFormat="1" applyFont="1" applyFill="1" applyBorder="1" applyAlignment="1">
      <alignment vertical="top" wrapText="1"/>
    </xf>
    <xf numFmtId="0" fontId="6" fillId="3" borderId="5" xfId="49" applyNumberFormat="1" applyFont="1" applyFill="1" applyBorder="1" applyAlignment="1">
      <alignment vertical="top" wrapText="1"/>
    </xf>
    <xf numFmtId="0" fontId="5" fillId="4" borderId="6" xfId="49" applyNumberFormat="1" applyFont="1" applyFill="1" applyBorder="1" applyAlignment="1">
      <alignment vertical="top"/>
    </xf>
    <xf numFmtId="0" fontId="5" fillId="4" borderId="7" xfId="49" applyNumberFormat="1" applyFont="1" applyFill="1" applyBorder="1" applyAlignment="1">
      <alignment vertical="top"/>
    </xf>
    <xf numFmtId="0" fontId="5" fillId="4" borderId="8" xfId="49" applyNumberFormat="1" applyFont="1" applyFill="1" applyBorder="1" applyAlignment="1">
      <alignment vertical="top"/>
    </xf>
    <xf numFmtId="0" fontId="7" fillId="3" borderId="8" xfId="49" applyNumberFormat="1" applyFont="1" applyFill="1" applyBorder="1" applyAlignment="1">
      <alignment vertical="top" wrapText="1"/>
    </xf>
    <xf numFmtId="0" fontId="7" fillId="3" borderId="5" xfId="49" applyNumberFormat="1" applyFont="1" applyFill="1" applyBorder="1" applyAlignment="1">
      <alignment vertical="top" wrapText="1"/>
    </xf>
    <xf numFmtId="0" fontId="1" fillId="5" borderId="7" xfId="49" applyNumberFormat="1" applyFont="1" applyFill="1" applyBorder="1" applyAlignment="1">
      <alignment vertical="top" wrapText="1"/>
    </xf>
    <xf numFmtId="0" fontId="1" fillId="5" borderId="8" xfId="49" applyNumberFormat="1" applyFont="1" applyFill="1" applyBorder="1" applyAlignment="1">
      <alignment vertical="top" wrapText="1"/>
    </xf>
    <xf numFmtId="0" fontId="8" fillId="5" borderId="0" xfId="49" applyNumberFormat="1" applyFont="1" applyFill="1" applyBorder="1" applyAlignment="1">
      <alignment vertical="top"/>
    </xf>
    <xf numFmtId="0" fontId="1" fillId="6" borderId="9" xfId="49" applyNumberFormat="1" applyFont="1" applyFill="1" applyBorder="1" applyAlignment="1">
      <alignment vertical="top" wrapText="1"/>
    </xf>
    <xf numFmtId="0" fontId="1" fillId="6" borderId="10" xfId="49" applyNumberFormat="1" applyFont="1" applyFill="1" applyBorder="1" applyAlignment="1">
      <alignment vertical="top" wrapText="1"/>
    </xf>
    <xf numFmtId="0" fontId="1" fillId="6" borderId="11" xfId="49" applyNumberFormat="1" applyFont="1" applyFill="1" applyBorder="1" applyAlignment="1">
      <alignment vertical="top" wrapText="1"/>
    </xf>
    <xf numFmtId="0" fontId="1" fillId="6" borderId="12" xfId="49" applyNumberFormat="1" applyFont="1" applyFill="1" applyBorder="1" applyAlignment="1">
      <alignment vertical="top" wrapText="1"/>
    </xf>
    <xf numFmtId="0" fontId="1" fillId="6" borderId="0" xfId="49" applyNumberFormat="1" applyFont="1" applyFill="1" applyBorder="1" applyAlignment="1">
      <alignment vertical="top" wrapText="1"/>
    </xf>
    <xf numFmtId="0" fontId="1" fillId="6" borderId="13" xfId="49" applyNumberFormat="1" applyFont="1" applyFill="1" applyBorder="1" applyAlignment="1">
      <alignment vertical="top" wrapText="1"/>
    </xf>
    <xf numFmtId="0" fontId="1" fillId="6" borderId="3" xfId="49" applyNumberFormat="1" applyFont="1" applyFill="1" applyBorder="1" applyAlignment="1">
      <alignment vertical="top" wrapText="1"/>
    </xf>
    <xf numFmtId="0" fontId="1" fillId="6" borderId="4" xfId="49" applyNumberFormat="1" applyFont="1" applyFill="1" applyBorder="1" applyAlignment="1">
      <alignment vertical="top" wrapText="1"/>
    </xf>
    <xf numFmtId="0" fontId="1" fillId="6" borderId="5" xfId="49" applyNumberFormat="1" applyFont="1" applyFill="1" applyBorder="1" applyAlignment="1">
      <alignment vertical="top" wrapText="1"/>
    </xf>
    <xf numFmtId="0" fontId="9" fillId="0" borderId="0" xfId="49" applyNumberFormat="1" applyFont="1" applyFill="1" applyBorder="1" applyAlignment="1">
      <alignment vertical="top"/>
    </xf>
    <xf numFmtId="176" fontId="1" fillId="0" borderId="4" xfId="49" applyNumberFormat="1" applyFont="1" applyFill="1" applyBorder="1" applyAlignment="1">
      <alignment horizontal="right" vertical="top" wrapText="1"/>
    </xf>
    <xf numFmtId="0" fontId="10" fillId="7" borderId="4" xfId="49" applyNumberFormat="1" applyFont="1" applyFill="1" applyBorder="1" applyAlignment="1">
      <alignment vertical="top" wrapText="1"/>
    </xf>
    <xf numFmtId="176" fontId="1" fillId="0" borderId="7" xfId="49" applyNumberFormat="1" applyFont="1" applyFill="1" applyBorder="1" applyAlignment="1">
      <alignment horizontal="right" vertical="top" wrapText="1"/>
    </xf>
    <xf numFmtId="10" fontId="11" fillId="5" borderId="7" xfId="49" applyNumberFormat="1" applyFont="1" applyFill="1" applyBorder="1" applyAlignment="1">
      <alignment horizontal="right" vertical="top" wrapText="1"/>
    </xf>
    <xf numFmtId="0" fontId="1" fillId="5" borderId="4" xfId="49" applyNumberFormat="1" applyFont="1" applyFill="1" applyBorder="1" applyAlignment="1">
      <alignment vertical="top" wrapText="1"/>
    </xf>
    <xf numFmtId="0" fontId="7" fillId="3" borderId="4" xfId="49" applyNumberFormat="1" applyFont="1" applyFill="1" applyBorder="1" applyAlignment="1">
      <alignment vertical="top" wrapText="1"/>
    </xf>
    <xf numFmtId="0" fontId="7" fillId="3" borderId="7" xfId="49" applyNumberFormat="1" applyFont="1" applyFill="1" applyBorder="1" applyAlignment="1">
      <alignment vertical="top" wrapText="1"/>
    </xf>
    <xf numFmtId="3" fontId="1" fillId="5" borderId="4" xfId="49" applyNumberFormat="1" applyFont="1" applyFill="1" applyBorder="1" applyAlignment="1">
      <alignment vertical="top" wrapText="1"/>
    </xf>
    <xf numFmtId="176" fontId="1" fillId="0" borderId="4" xfId="49" applyNumberFormat="1" applyFont="1" applyFill="1" applyBorder="1" applyAlignment="1">
      <alignment vertical="top" wrapText="1"/>
    </xf>
    <xf numFmtId="10" fontId="1" fillId="5" borderId="7" xfId="49" applyNumberFormat="1" applyFont="1" applyFill="1" applyBorder="1" applyAlignment="1">
      <alignment vertical="top" wrapText="1"/>
    </xf>
    <xf numFmtId="176" fontId="1" fillId="0" borderId="7" xfId="49" applyNumberFormat="1" applyFont="1" applyFill="1" applyBorder="1" applyAlignment="1">
      <alignment vertical="top" wrapText="1"/>
    </xf>
    <xf numFmtId="177" fontId="1" fillId="5" borderId="7" xfId="49" applyNumberFormat="1" applyFont="1" applyFill="1" applyBorder="1" applyAlignment="1">
      <alignment vertical="top" wrapText="1"/>
    </xf>
    <xf numFmtId="10" fontId="1" fillId="5" borderId="4" xfId="49" applyNumberFormat="1" applyFont="1" applyFill="1" applyBorder="1" applyAlignment="1">
      <alignment horizontal="right" vertical="top" wrapText="1"/>
    </xf>
    <xf numFmtId="0" fontId="11" fillId="5" borderId="4" xfId="49" applyNumberFormat="1" applyFont="1" applyFill="1" applyBorder="1" applyAlignment="1">
      <alignment vertical="top" wrapText="1"/>
    </xf>
    <xf numFmtId="10" fontId="1" fillId="5" borderId="7" xfId="49" applyNumberFormat="1" applyFont="1" applyFill="1" applyBorder="1" applyAlignment="1">
      <alignment horizontal="right" vertical="top" wrapText="1"/>
    </xf>
    <xf numFmtId="0" fontId="11" fillId="5" borderId="7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9C1C1C"/>
      </font>
      <fill>
        <patternFill patternType="solid">
          <bgColor rgb="FFFCE4E4"/>
        </patternFill>
      </fill>
    </dxf>
    <dxf>
      <font>
        <b val="1"/>
        <color rgb="FF7A52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8324A"/>
  </sheetPr>
  <dimension ref="A1:K42"/>
  <sheetViews>
    <sheetView showGridLines="0" workbookViewId="0">
      <pane ySplit="8" topLeftCell="A9" activePane="bottomLeft" state="frozen"/>
      <selection/>
      <selection pane="bottomLeft" activeCell="A1" sqref="A1"/>
    </sheetView>
  </sheetViews>
  <sheetFormatPr defaultColWidth="9" defaultRowHeight="16.8"/>
  <cols>
    <col min="1" max="1" width="13" customWidth="1"/>
    <col min="2" max="2" width="30" customWidth="1"/>
    <col min="3" max="3" width="24" customWidth="1"/>
    <col min="4" max="4" width="14" customWidth="1"/>
    <col min="5" max="5" width="22" customWidth="1"/>
    <col min="6" max="6" width="14" customWidth="1"/>
    <col min="7" max="7" width="27" customWidth="1"/>
    <col min="8" max="8" width="17" customWidth="1"/>
    <col min="9" max="9" width="21" customWidth="1"/>
    <col min="10" max="10" width="19" customWidth="1"/>
    <col min="11" max="11" width="3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17.55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39" t="s">
        <v>2</v>
      </c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22" t="s">
        <v>3</v>
      </c>
      <c r="B7" s="23"/>
      <c r="C7" s="23"/>
      <c r="D7" s="23"/>
      <c r="E7" s="23"/>
      <c r="F7" s="23"/>
      <c r="G7" s="23"/>
      <c r="H7" s="23"/>
      <c r="I7" s="23"/>
      <c r="J7" s="23"/>
      <c r="K7" s="24"/>
    </row>
    <row r="8" ht="38" customHeight="1" spans="1:11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7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</row>
    <row r="9" ht="58" customHeight="1" spans="1:11">
      <c r="A9" s="6" t="s">
        <v>14</v>
      </c>
      <c r="B9" s="7" t="s">
        <v>15</v>
      </c>
      <c r="C9" s="7" t="s">
        <v>16</v>
      </c>
      <c r="D9" s="40">
        <v>34.265</v>
      </c>
      <c r="E9" s="7" t="s">
        <v>17</v>
      </c>
      <c r="F9" s="7"/>
      <c r="G9" s="7" t="s">
        <v>18</v>
      </c>
      <c r="H9" s="40">
        <f>D9</f>
        <v>34.265</v>
      </c>
      <c r="I9" s="41" t="s">
        <v>19</v>
      </c>
      <c r="J9" s="7" t="s">
        <v>20</v>
      </c>
      <c r="K9" s="8" t="s">
        <v>21</v>
      </c>
    </row>
    <row r="10" ht="58" customHeight="1" spans="1:11">
      <c r="A10" s="9" t="s">
        <v>22</v>
      </c>
      <c r="B10" s="10" t="s">
        <v>23</v>
      </c>
      <c r="C10" s="10" t="s">
        <v>24</v>
      </c>
      <c r="D10" s="42">
        <f>H9</f>
        <v>34.265</v>
      </c>
      <c r="E10" s="10" t="s">
        <v>25</v>
      </c>
      <c r="F10" s="43"/>
      <c r="G10" s="10" t="s">
        <v>26</v>
      </c>
      <c r="H10" s="42" t="str">
        <f>IF(F10="","",D10*F10)</f>
        <v/>
      </c>
      <c r="I10" s="10" t="str">
        <f>IF(F10="","Pending validation","Calculated from unvalidated assumption")</f>
        <v>Pending validation</v>
      </c>
      <c r="J10" s="10" t="s">
        <v>27</v>
      </c>
      <c r="K10" s="11" t="s">
        <v>28</v>
      </c>
    </row>
    <row r="11" ht="58" customHeight="1" spans="1:11">
      <c r="A11" s="9" t="s">
        <v>29</v>
      </c>
      <c r="B11" s="10" t="s">
        <v>30</v>
      </c>
      <c r="C11" s="10" t="s">
        <v>31</v>
      </c>
      <c r="D11" s="42" t="str">
        <f>IF(H10="","",H10)</f>
        <v/>
      </c>
      <c r="E11" s="10" t="s">
        <v>32</v>
      </c>
      <c r="F11" s="43"/>
      <c r="G11" s="10" t="s">
        <v>33</v>
      </c>
      <c r="H11" s="42" t="str">
        <f>IF(OR(D11="",F11=""),"",D11*F11)</f>
        <v/>
      </c>
      <c r="I11" s="10" t="str">
        <f>IF(F11="","Pending validation","Calculated from unvalidated assumption")</f>
        <v>Pending validation</v>
      </c>
      <c r="J11" s="10" t="s">
        <v>34</v>
      </c>
      <c r="K11" s="11" t="s">
        <v>35</v>
      </c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22" t="s">
        <v>36</v>
      </c>
      <c r="B14" s="23"/>
      <c r="C14" s="23"/>
      <c r="D14" s="23"/>
      <c r="E14" s="23"/>
      <c r="F14" s="23"/>
      <c r="G14" s="23"/>
      <c r="H14" s="23"/>
      <c r="I14" s="23"/>
      <c r="J14" s="23"/>
      <c r="K14" s="24"/>
    </row>
    <row r="15" ht="38" customHeight="1" spans="1:11">
      <c r="A15" s="5" t="s">
        <v>37</v>
      </c>
      <c r="B15" s="5" t="s">
        <v>38</v>
      </c>
      <c r="C15" s="5" t="s">
        <v>39</v>
      </c>
      <c r="D15" s="5" t="s">
        <v>11</v>
      </c>
      <c r="E15" s="5" t="s">
        <v>40</v>
      </c>
      <c r="F15" s="5" t="s">
        <v>41</v>
      </c>
      <c r="G15" s="5" t="s">
        <v>42</v>
      </c>
      <c r="H15" s="5" t="s">
        <v>43</v>
      </c>
      <c r="I15" s="5" t="s">
        <v>44</v>
      </c>
      <c r="J15" s="5" t="s">
        <v>45</v>
      </c>
      <c r="K15" s="5" t="s">
        <v>46</v>
      </c>
    </row>
    <row r="16" ht="72" customHeight="1" spans="1:11">
      <c r="A16" s="6" t="s">
        <v>25</v>
      </c>
      <c r="B16" s="7" t="s">
        <v>47</v>
      </c>
      <c r="C16" s="44"/>
      <c r="D16" s="45" t="s">
        <v>48</v>
      </c>
      <c r="E16" s="7" t="s">
        <v>49</v>
      </c>
      <c r="F16" s="7"/>
      <c r="G16" s="7"/>
      <c r="H16" s="7"/>
      <c r="I16" s="7" t="s">
        <v>50</v>
      </c>
      <c r="J16" s="7" t="s">
        <v>51</v>
      </c>
      <c r="K16" s="8" t="s">
        <v>52</v>
      </c>
    </row>
    <row r="17" ht="72" customHeight="1" spans="1:11">
      <c r="A17" s="9" t="s">
        <v>53</v>
      </c>
      <c r="B17" s="10" t="s">
        <v>54</v>
      </c>
      <c r="C17" s="27"/>
      <c r="D17" s="46" t="s">
        <v>48</v>
      </c>
      <c r="E17" s="10" t="s">
        <v>55</v>
      </c>
      <c r="F17" s="10"/>
      <c r="G17" s="10"/>
      <c r="H17" s="10"/>
      <c r="I17" s="10" t="s">
        <v>56</v>
      </c>
      <c r="J17" s="10" t="s">
        <v>57</v>
      </c>
      <c r="K17" s="11" t="s">
        <v>58</v>
      </c>
    </row>
    <row r="18" ht="72" customHeight="1" spans="1:11">
      <c r="A18" s="9" t="s">
        <v>59</v>
      </c>
      <c r="B18" s="10" t="s">
        <v>60</v>
      </c>
      <c r="C18" s="27"/>
      <c r="D18" s="46" t="s">
        <v>48</v>
      </c>
      <c r="E18" s="10" t="s">
        <v>61</v>
      </c>
      <c r="F18" s="10"/>
      <c r="G18" s="10"/>
      <c r="H18" s="10"/>
      <c r="I18" s="10" t="s">
        <v>62</v>
      </c>
      <c r="J18" s="10" t="s">
        <v>63</v>
      </c>
      <c r="K18" s="11" t="s">
        <v>64</v>
      </c>
    </row>
    <row r="19" ht="72" customHeight="1" spans="1:11">
      <c r="A19" s="9" t="s">
        <v>65</v>
      </c>
      <c r="B19" s="10" t="s">
        <v>66</v>
      </c>
      <c r="C19" s="27"/>
      <c r="D19" s="46" t="s">
        <v>48</v>
      </c>
      <c r="E19" s="10" t="s">
        <v>67</v>
      </c>
      <c r="F19" s="10"/>
      <c r="G19" s="10"/>
      <c r="H19" s="10"/>
      <c r="I19" s="10" t="s">
        <v>68</v>
      </c>
      <c r="J19" s="10" t="s">
        <v>69</v>
      </c>
      <c r="K19" s="11" t="s">
        <v>70</v>
      </c>
    </row>
    <row r="20" ht="72" customHeight="1" spans="1:11">
      <c r="A20" s="9" t="s">
        <v>71</v>
      </c>
      <c r="B20" s="10" t="s">
        <v>72</v>
      </c>
      <c r="C20" s="27"/>
      <c r="D20" s="46" t="s">
        <v>48</v>
      </c>
      <c r="E20" s="10" t="s">
        <v>73</v>
      </c>
      <c r="F20" s="10"/>
      <c r="G20" s="10"/>
      <c r="H20" s="10"/>
      <c r="I20" s="10" t="s">
        <v>74</v>
      </c>
      <c r="J20" s="10" t="s">
        <v>75</v>
      </c>
      <c r="K20" s="11" t="s">
        <v>76</v>
      </c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22" t="s">
        <v>77</v>
      </c>
      <c r="B23" s="23"/>
      <c r="C23" s="23"/>
      <c r="D23" s="23"/>
      <c r="E23" s="23"/>
      <c r="F23" s="23"/>
      <c r="G23" s="23"/>
      <c r="H23" s="23"/>
      <c r="I23" s="23"/>
      <c r="J23" s="23"/>
      <c r="K23" s="24"/>
    </row>
    <row r="24" ht="34" customHeight="1" spans="1:11">
      <c r="A24" s="5" t="s">
        <v>37</v>
      </c>
      <c r="B24" s="5" t="s">
        <v>78</v>
      </c>
      <c r="C24" s="5" t="s">
        <v>79</v>
      </c>
      <c r="D24" s="5" t="s">
        <v>80</v>
      </c>
      <c r="E24" s="1"/>
      <c r="F24" s="5" t="s">
        <v>81</v>
      </c>
      <c r="G24" s="5" t="s">
        <v>82</v>
      </c>
      <c r="H24" s="5" t="s">
        <v>83</v>
      </c>
      <c r="I24" s="5" t="s">
        <v>11</v>
      </c>
      <c r="J24" s="1"/>
      <c r="K24" s="1"/>
    </row>
    <row r="25" ht="34" customHeight="1" spans="1:11">
      <c r="A25" s="6" t="s">
        <v>84</v>
      </c>
      <c r="B25" s="7" t="s">
        <v>85</v>
      </c>
      <c r="C25" s="47"/>
      <c r="D25" s="8"/>
      <c r="E25" s="1"/>
      <c r="F25" s="6" t="s">
        <v>86</v>
      </c>
      <c r="G25" s="7" t="s">
        <v>87</v>
      </c>
      <c r="H25" s="48" t="str">
        <f>IF(COUNT(C25:C28)&lt;4,"",C25*C26*C27*C28/1000000000)</f>
        <v/>
      </c>
      <c r="I25" s="8" t="str">
        <f>IF(H25="","Pending validation","Calculated from team inputs")</f>
        <v>Pending validation</v>
      </c>
      <c r="J25" s="1"/>
      <c r="K25" s="1"/>
    </row>
    <row r="26" ht="34" customHeight="1" spans="1:11">
      <c r="A26" s="9" t="s">
        <v>88</v>
      </c>
      <c r="B26" s="10" t="s">
        <v>89</v>
      </c>
      <c r="C26" s="49"/>
      <c r="D26" s="11"/>
      <c r="E26" s="1"/>
      <c r="F26" s="9" t="s">
        <v>90</v>
      </c>
      <c r="G26" s="10" t="s">
        <v>91</v>
      </c>
      <c r="H26" s="50" t="str">
        <f>IF(OR(H11="",H25=""),"",H11-H25)</f>
        <v/>
      </c>
      <c r="I26" s="11" t="str">
        <f>IF(H26="","Pending validation","Explain material gap")</f>
        <v>Pending validation</v>
      </c>
      <c r="J26" s="1"/>
      <c r="K26" s="1"/>
    </row>
    <row r="27" ht="34" customHeight="1" spans="1:11">
      <c r="A27" s="9" t="s">
        <v>92</v>
      </c>
      <c r="B27" s="10" t="s">
        <v>93</v>
      </c>
      <c r="C27" s="49"/>
      <c r="D27" s="11"/>
      <c r="E27" s="1"/>
      <c r="F27" s="1"/>
      <c r="G27" s="1"/>
      <c r="H27" s="1"/>
      <c r="I27" s="1"/>
      <c r="J27" s="1"/>
      <c r="K27" s="1"/>
    </row>
    <row r="28" ht="34" customHeight="1" spans="1:11">
      <c r="A28" s="9" t="s">
        <v>94</v>
      </c>
      <c r="B28" s="10" t="s">
        <v>95</v>
      </c>
      <c r="C28" s="51"/>
      <c r="D28" s="1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22" t="s">
        <v>96</v>
      </c>
      <c r="B31" s="23"/>
      <c r="C31" s="23"/>
      <c r="D31" s="23"/>
      <c r="E31" s="23"/>
      <c r="F31" s="23"/>
      <c r="G31" s="23"/>
      <c r="H31" s="23"/>
      <c r="I31" s="23"/>
      <c r="J31" s="23"/>
      <c r="K31" s="24"/>
    </row>
    <row r="32" ht="34" customHeight="1" spans="1:11">
      <c r="A32" s="5" t="s">
        <v>97</v>
      </c>
      <c r="B32" s="5" t="s">
        <v>98</v>
      </c>
      <c r="C32" s="5" t="s">
        <v>32</v>
      </c>
      <c r="D32" s="5" t="s">
        <v>31</v>
      </c>
      <c r="E32" s="5" t="s">
        <v>99</v>
      </c>
      <c r="F32" s="5" t="s">
        <v>100</v>
      </c>
      <c r="G32" s="5" t="s">
        <v>101</v>
      </c>
      <c r="H32" s="1"/>
      <c r="I32" s="1"/>
      <c r="J32" s="1"/>
      <c r="K32" s="1"/>
    </row>
    <row r="33" ht="42" customHeight="1" spans="1:11">
      <c r="A33" s="6" t="s">
        <v>102</v>
      </c>
      <c r="B33" s="52">
        <v>0.05</v>
      </c>
      <c r="C33" s="52">
        <v>0.0001</v>
      </c>
      <c r="D33" s="40">
        <f>$H$9*B33</f>
        <v>1.71325</v>
      </c>
      <c r="E33" s="40">
        <f>D33*1000*C33</f>
        <v>0.171325</v>
      </c>
      <c r="F33" s="53" t="s">
        <v>103</v>
      </c>
      <c r="G33" s="8" t="s">
        <v>104</v>
      </c>
      <c r="H33" s="1"/>
      <c r="I33" s="1"/>
      <c r="J33" s="1"/>
      <c r="K33" s="1"/>
    </row>
    <row r="34" ht="42" customHeight="1" spans="1:11">
      <c r="A34" s="9" t="s">
        <v>105</v>
      </c>
      <c r="B34" s="54">
        <v>0.1</v>
      </c>
      <c r="C34" s="54">
        <v>0.0005</v>
      </c>
      <c r="D34" s="42">
        <f>$H$9*B34</f>
        <v>3.4265</v>
      </c>
      <c r="E34" s="42">
        <f>D34*1000*C34</f>
        <v>1.71325</v>
      </c>
      <c r="F34" s="55" t="s">
        <v>103</v>
      </c>
      <c r="G34" s="11" t="s">
        <v>106</v>
      </c>
      <c r="H34" s="1"/>
      <c r="I34" s="1"/>
      <c r="J34" s="1"/>
      <c r="K34" s="1"/>
    </row>
    <row r="35" ht="42" customHeight="1" spans="1:11">
      <c r="A35" s="9" t="s">
        <v>107</v>
      </c>
      <c r="B35" s="54">
        <v>0.2</v>
      </c>
      <c r="C35" s="54">
        <v>0.001</v>
      </c>
      <c r="D35" s="42">
        <f>$H$9*B35</f>
        <v>6.853</v>
      </c>
      <c r="E35" s="42">
        <f>D35*1000*C35</f>
        <v>6.853</v>
      </c>
      <c r="F35" s="55" t="s">
        <v>103</v>
      </c>
      <c r="G35" s="11" t="s">
        <v>108</v>
      </c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2" t="s">
        <v>109</v>
      </c>
      <c r="B38" s="30" t="s">
        <v>110</v>
      </c>
      <c r="C38" s="31"/>
      <c r="D38" s="31"/>
      <c r="E38" s="31"/>
      <c r="F38" s="31"/>
      <c r="G38" s="31"/>
      <c r="H38" s="31"/>
      <c r="I38" s="31"/>
      <c r="J38" s="31"/>
      <c r="K38" s="32"/>
    </row>
    <row r="39" spans="1:11">
      <c r="A39" s="1"/>
      <c r="B39" s="36"/>
      <c r="C39" s="37"/>
      <c r="D39" s="37"/>
      <c r="E39" s="37"/>
      <c r="F39" s="37"/>
      <c r="G39" s="37"/>
      <c r="H39" s="37"/>
      <c r="I39" s="37"/>
      <c r="J39" s="37"/>
      <c r="K39" s="38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</sheetData>
  <mergeCells count="2">
    <mergeCell ref="A2:D2"/>
    <mergeCell ref="B38:K39"/>
  </mergeCells>
  <conditionalFormatting sqref="I9:I11">
    <cfRule type="containsText" dxfId="0" priority="1" operator="between" text="Pending">
      <formula>NOT(ISERROR(SEARCH("Pending",I9)))</formula>
    </cfRule>
    <cfRule type="containsText" dxfId="1" priority="2" operator="between" text="unvalidated">
      <formula>NOT(ISERROR(SEARCH("unvalidated",I9)))</formula>
    </cfRule>
  </conditionalFormatting>
  <conditionalFormatting sqref="I25:I26">
    <cfRule type="containsText" dxfId="0" priority="3" operator="between" text="Pending">
      <formula>NOT(ISERROR(SEARCH("Pending",I25)))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6F8F"/>
  </sheetPr>
  <dimension ref="A1:M21"/>
  <sheetViews>
    <sheetView showGridLines="0" workbookViewId="0">
      <pane xSplit="1" ySplit="7" topLeftCell="B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21" customWidth="1"/>
    <col min="2" max="2" width="24" customWidth="1"/>
    <col min="3" max="4" width="31" customWidth="1"/>
    <col min="5" max="5" width="39" customWidth="1"/>
    <col min="6" max="6" width="22" customWidth="1"/>
    <col min="7" max="7" width="18" customWidth="1"/>
    <col min="8" max="8" width="38" customWidth="1"/>
    <col min="9" max="9" width="47" customWidth="1"/>
    <col min="10" max="10" width="22" customWidth="1"/>
    <col min="11" max="11" width="36" customWidth="1"/>
    <col min="12" max="12" width="31" customWidth="1"/>
    <col min="13" max="13" width="13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 spans="1:13">
      <c r="A2" s="2" t="s">
        <v>111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3" t="s">
        <v>112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7.55" spans="1:1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29" t="s">
        <v>113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ht="48" customHeight="1" spans="1:13">
      <c r="A7" s="5" t="s">
        <v>114</v>
      </c>
      <c r="B7" s="5" t="s">
        <v>115</v>
      </c>
      <c r="C7" s="5" t="s">
        <v>116</v>
      </c>
      <c r="D7" s="5" t="s">
        <v>117</v>
      </c>
      <c r="E7" s="5" t="s">
        <v>118</v>
      </c>
      <c r="F7" s="5" t="s">
        <v>119</v>
      </c>
      <c r="G7" s="5" t="s">
        <v>120</v>
      </c>
      <c r="H7" s="5" t="s">
        <v>121</v>
      </c>
      <c r="I7" s="5" t="s">
        <v>122</v>
      </c>
      <c r="J7" s="5" t="s">
        <v>123</v>
      </c>
      <c r="K7" s="5" t="s">
        <v>124</v>
      </c>
      <c r="L7" s="5" t="s">
        <v>125</v>
      </c>
      <c r="M7" s="5" t="s">
        <v>126</v>
      </c>
    </row>
    <row r="8" ht="132" customHeight="1" spans="1:13">
      <c r="A8" s="6" t="s">
        <v>127</v>
      </c>
      <c r="B8" s="7" t="s">
        <v>128</v>
      </c>
      <c r="C8" s="7" t="s">
        <v>129</v>
      </c>
      <c r="D8" s="7" t="s">
        <v>130</v>
      </c>
      <c r="E8" s="7" t="s">
        <v>131</v>
      </c>
      <c r="F8" s="7" t="s">
        <v>132</v>
      </c>
      <c r="G8" s="7" t="s">
        <v>133</v>
      </c>
      <c r="H8" s="7" t="s">
        <v>134</v>
      </c>
      <c r="I8" s="7" t="s">
        <v>135</v>
      </c>
      <c r="J8" s="7" t="s">
        <v>136</v>
      </c>
      <c r="K8" s="7" t="s">
        <v>137</v>
      </c>
      <c r="L8" s="7" t="s">
        <v>138</v>
      </c>
      <c r="M8" s="8" t="s">
        <v>139</v>
      </c>
    </row>
    <row r="9" ht="132" customHeight="1" spans="1:13">
      <c r="A9" s="9" t="s">
        <v>140</v>
      </c>
      <c r="B9" s="10" t="s">
        <v>141</v>
      </c>
      <c r="C9" s="10" t="s">
        <v>142</v>
      </c>
      <c r="D9" s="10" t="s">
        <v>143</v>
      </c>
      <c r="E9" s="10" t="s">
        <v>144</v>
      </c>
      <c r="F9" s="10" t="s">
        <v>145</v>
      </c>
      <c r="G9" s="10" t="s">
        <v>146</v>
      </c>
      <c r="H9" s="10" t="s">
        <v>147</v>
      </c>
      <c r="I9" s="10" t="s">
        <v>148</v>
      </c>
      <c r="J9" s="10" t="s">
        <v>149</v>
      </c>
      <c r="K9" s="10" t="s">
        <v>150</v>
      </c>
      <c r="L9" s="10" t="s">
        <v>151</v>
      </c>
      <c r="M9" s="11" t="s">
        <v>139</v>
      </c>
    </row>
    <row r="10" ht="132" customHeight="1" spans="1:13">
      <c r="A10" s="9" t="s">
        <v>152</v>
      </c>
      <c r="B10" s="10" t="s">
        <v>141</v>
      </c>
      <c r="C10" s="10" t="s">
        <v>142</v>
      </c>
      <c r="D10" s="10" t="s">
        <v>153</v>
      </c>
      <c r="E10" s="10" t="s">
        <v>154</v>
      </c>
      <c r="F10" s="10" t="s">
        <v>155</v>
      </c>
      <c r="G10" s="10" t="s">
        <v>156</v>
      </c>
      <c r="H10" s="10" t="s">
        <v>157</v>
      </c>
      <c r="I10" s="10" t="s">
        <v>158</v>
      </c>
      <c r="J10" s="10" t="s">
        <v>149</v>
      </c>
      <c r="K10" s="10" t="s">
        <v>159</v>
      </c>
      <c r="L10" s="10" t="s">
        <v>160</v>
      </c>
      <c r="M10" s="11" t="s">
        <v>139</v>
      </c>
    </row>
    <row r="11" ht="132" customHeight="1" spans="1:13">
      <c r="A11" s="9" t="s">
        <v>161</v>
      </c>
      <c r="B11" s="10" t="s">
        <v>162</v>
      </c>
      <c r="C11" s="10" t="s">
        <v>163</v>
      </c>
      <c r="D11" s="10" t="s">
        <v>164</v>
      </c>
      <c r="E11" s="10" t="s">
        <v>165</v>
      </c>
      <c r="F11" s="10" t="s">
        <v>166</v>
      </c>
      <c r="G11" s="10" t="s">
        <v>167</v>
      </c>
      <c r="H11" s="10" t="s">
        <v>168</v>
      </c>
      <c r="I11" s="10" t="s">
        <v>169</v>
      </c>
      <c r="J11" s="10" t="s">
        <v>170</v>
      </c>
      <c r="K11" s="10" t="s">
        <v>171</v>
      </c>
      <c r="L11" s="10" t="s">
        <v>172</v>
      </c>
      <c r="M11" s="11" t="s">
        <v>139</v>
      </c>
    </row>
    <row r="12" ht="132" customHeight="1" spans="1:13">
      <c r="A12" s="9" t="s">
        <v>173</v>
      </c>
      <c r="B12" s="10" t="s">
        <v>174</v>
      </c>
      <c r="C12" s="10" t="s">
        <v>142</v>
      </c>
      <c r="D12" s="10" t="s">
        <v>175</v>
      </c>
      <c r="E12" s="10" t="s">
        <v>176</v>
      </c>
      <c r="F12" s="10" t="s">
        <v>145</v>
      </c>
      <c r="G12" s="10" t="s">
        <v>177</v>
      </c>
      <c r="H12" s="10" t="s">
        <v>178</v>
      </c>
      <c r="I12" s="10" t="s">
        <v>179</v>
      </c>
      <c r="J12" s="10" t="s">
        <v>180</v>
      </c>
      <c r="K12" s="10" t="s">
        <v>181</v>
      </c>
      <c r="L12" s="10" t="s">
        <v>182</v>
      </c>
      <c r="M12" s="11" t="s">
        <v>139</v>
      </c>
    </row>
    <row r="13" ht="132" customHeight="1" spans="1:13">
      <c r="A13" s="9" t="s">
        <v>183</v>
      </c>
      <c r="B13" s="10" t="s">
        <v>184</v>
      </c>
      <c r="C13" s="10" t="s">
        <v>185</v>
      </c>
      <c r="D13" s="10" t="s">
        <v>186</v>
      </c>
      <c r="E13" s="10" t="s">
        <v>187</v>
      </c>
      <c r="F13" s="10" t="s">
        <v>188</v>
      </c>
      <c r="G13" s="10" t="s">
        <v>189</v>
      </c>
      <c r="H13" s="10" t="s">
        <v>190</v>
      </c>
      <c r="I13" s="10" t="s">
        <v>191</v>
      </c>
      <c r="J13" s="10" t="s">
        <v>149</v>
      </c>
      <c r="K13" s="10" t="s">
        <v>192</v>
      </c>
      <c r="L13" s="10" t="s">
        <v>193</v>
      </c>
      <c r="M13" s="11" t="s">
        <v>139</v>
      </c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2" t="s">
        <v>194</v>
      </c>
      <c r="B15" s="30" t="s">
        <v>195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2"/>
    </row>
    <row r="16" spans="1:13">
      <c r="A16" s="1"/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5"/>
    </row>
    <row r="17" spans="1:13">
      <c r="A17" s="1"/>
      <c r="B17" s="36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8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</sheetData>
  <mergeCells count="2">
    <mergeCell ref="A2:D2"/>
    <mergeCell ref="B15:M1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6F8F"/>
  </sheetPr>
  <dimension ref="A1:H33"/>
  <sheetViews>
    <sheetView showGridLines="0" workbookViewId="0">
      <pane ySplit="7" topLeftCell="A8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28" customWidth="1"/>
    <col min="2" max="2" width="78" customWidth="1"/>
    <col min="3" max="3" width="36" customWidth="1"/>
    <col min="4" max="4" width="28" customWidth="1"/>
    <col min="5" max="5" width="26" customWidth="1"/>
    <col min="6" max="7" width="42" customWidth="1"/>
    <col min="8" max="8" width="22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ht="30" customHeight="1" spans="1:8">
      <c r="A2" s="2" t="s">
        <v>196</v>
      </c>
      <c r="B2" s="1"/>
      <c r="C2" s="1"/>
      <c r="D2" s="1"/>
      <c r="E2" s="1"/>
      <c r="F2" s="1"/>
      <c r="G2" s="1"/>
      <c r="H2" s="1"/>
    </row>
    <row r="3" spans="1:8">
      <c r="A3" s="3" t="s">
        <v>197</v>
      </c>
      <c r="B3" s="3"/>
      <c r="C3" s="3"/>
      <c r="D3" s="3"/>
      <c r="E3" s="3"/>
      <c r="F3" s="3"/>
      <c r="G3" s="3"/>
      <c r="H3" s="3"/>
    </row>
    <row r="4" ht="17.55" spans="1:8">
      <c r="A4" s="4"/>
      <c r="B4" s="4"/>
      <c r="C4" s="4"/>
      <c r="D4" s="4"/>
      <c r="E4" s="4"/>
      <c r="F4" s="4"/>
      <c r="G4" s="4"/>
      <c r="H4" s="4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22" t="s">
        <v>198</v>
      </c>
      <c r="B6" s="23"/>
      <c r="C6" s="23"/>
      <c r="D6" s="23"/>
      <c r="E6" s="23"/>
      <c r="F6" s="23"/>
      <c r="G6" s="23"/>
      <c r="H6" s="24"/>
    </row>
    <row r="7" spans="1:8">
      <c r="A7" s="5" t="s">
        <v>199</v>
      </c>
      <c r="B7" s="5" t="s">
        <v>200</v>
      </c>
      <c r="C7" s="1"/>
      <c r="D7" s="1"/>
      <c r="E7" s="1"/>
      <c r="F7" s="1"/>
      <c r="G7" s="1"/>
      <c r="H7" s="1"/>
    </row>
    <row r="8" ht="48" customHeight="1" spans="1:8">
      <c r="A8" s="6" t="s">
        <v>201</v>
      </c>
      <c r="B8" s="8" t="s">
        <v>202</v>
      </c>
      <c r="C8" s="1"/>
      <c r="D8" s="1"/>
      <c r="E8" s="1"/>
      <c r="F8" s="1"/>
      <c r="G8" s="1"/>
      <c r="H8" s="1"/>
    </row>
    <row r="9" ht="48" customHeight="1" spans="1:8">
      <c r="A9" s="9" t="s">
        <v>203</v>
      </c>
      <c r="B9" s="11" t="s">
        <v>204</v>
      </c>
      <c r="C9" s="1"/>
      <c r="D9" s="1"/>
      <c r="E9" s="1"/>
      <c r="F9" s="1"/>
      <c r="G9" s="1"/>
      <c r="H9" s="1"/>
    </row>
    <row r="10" ht="48" customHeight="1" spans="1:8">
      <c r="A10" s="9" t="s">
        <v>205</v>
      </c>
      <c r="B10" s="11" t="s">
        <v>206</v>
      </c>
      <c r="C10" s="1"/>
      <c r="D10" s="1"/>
      <c r="E10" s="1"/>
      <c r="F10" s="1"/>
      <c r="G10" s="1"/>
      <c r="H10" s="1"/>
    </row>
    <row r="11" ht="48" customHeight="1" spans="1:8">
      <c r="A11" s="9" t="s">
        <v>207</v>
      </c>
      <c r="B11" s="11" t="s">
        <v>208</v>
      </c>
      <c r="C11" s="1"/>
      <c r="D11" s="1"/>
      <c r="E11" s="1"/>
      <c r="F11" s="1"/>
      <c r="G11" s="1"/>
      <c r="H11" s="1"/>
    </row>
    <row r="12" ht="48" customHeight="1" spans="1:8">
      <c r="A12" s="9" t="s">
        <v>209</v>
      </c>
      <c r="B12" s="11" t="s">
        <v>210</v>
      </c>
      <c r="C12" s="1"/>
      <c r="D12" s="1"/>
      <c r="E12" s="1"/>
      <c r="F12" s="1"/>
      <c r="G12" s="1"/>
      <c r="H12" s="1"/>
    </row>
    <row r="13" ht="48" customHeight="1" spans="1:8">
      <c r="A13" s="9" t="s">
        <v>211</v>
      </c>
      <c r="B13" s="11" t="s">
        <v>212</v>
      </c>
      <c r="C13" s="1"/>
      <c r="D13" s="1"/>
      <c r="E13" s="1"/>
      <c r="F13" s="1"/>
      <c r="G13" s="1"/>
      <c r="H13" s="1"/>
    </row>
    <row r="14" ht="120" customHeight="1" spans="1:8">
      <c r="A14" s="9" t="s">
        <v>213</v>
      </c>
      <c r="B14" s="11" t="s">
        <v>214</v>
      </c>
      <c r="C14" s="1"/>
      <c r="D14" s="1"/>
      <c r="E14" s="1"/>
      <c r="F14" s="1"/>
      <c r="G14" s="1"/>
      <c r="H14" s="1"/>
    </row>
    <row r="15" ht="48" customHeight="1" spans="1:8">
      <c r="A15" s="9" t="s">
        <v>100</v>
      </c>
      <c r="B15" s="25" t="s">
        <v>215</v>
      </c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22" t="s">
        <v>216</v>
      </c>
      <c r="B18" s="23"/>
      <c r="C18" s="23"/>
      <c r="D18" s="23"/>
      <c r="E18" s="23"/>
      <c r="F18" s="23"/>
      <c r="G18" s="23"/>
      <c r="H18" s="24"/>
    </row>
    <row r="19" spans="1:8">
      <c r="A19" s="5" t="s">
        <v>217</v>
      </c>
      <c r="B19" s="5" t="s">
        <v>218</v>
      </c>
      <c r="C19" s="5" t="s">
        <v>219</v>
      </c>
      <c r="D19" s="5" t="s">
        <v>220</v>
      </c>
      <c r="E19" s="5" t="s">
        <v>221</v>
      </c>
      <c r="F19" s="5" t="s">
        <v>222</v>
      </c>
      <c r="G19" s="5" t="s">
        <v>223</v>
      </c>
      <c r="H19" s="5" t="s">
        <v>11</v>
      </c>
    </row>
    <row r="20" ht="130" customHeight="1" spans="1:8">
      <c r="A20" s="6" t="s">
        <v>224</v>
      </c>
      <c r="B20" s="7" t="s">
        <v>225</v>
      </c>
      <c r="C20" s="7" t="s">
        <v>226</v>
      </c>
      <c r="D20" s="7" t="s">
        <v>227</v>
      </c>
      <c r="E20" s="7" t="s">
        <v>228</v>
      </c>
      <c r="F20" s="7" t="s">
        <v>229</v>
      </c>
      <c r="G20" s="7" t="s">
        <v>230</v>
      </c>
      <c r="H20" s="26" t="s">
        <v>231</v>
      </c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22" t="s">
        <v>232</v>
      </c>
      <c r="B23" s="23"/>
      <c r="C23" s="23"/>
      <c r="D23" s="23"/>
      <c r="E23" s="23"/>
      <c r="F23" s="23"/>
      <c r="G23" s="23"/>
      <c r="H23" s="24"/>
    </row>
    <row r="24" spans="1:8">
      <c r="A24" s="5" t="s">
        <v>233</v>
      </c>
      <c r="B24" s="5" t="s">
        <v>234</v>
      </c>
      <c r="C24" s="5" t="s">
        <v>235</v>
      </c>
      <c r="D24" s="5" t="s">
        <v>12</v>
      </c>
      <c r="E24" s="5" t="s">
        <v>236</v>
      </c>
      <c r="F24" s="1"/>
      <c r="G24" s="1"/>
      <c r="H24" s="1"/>
    </row>
    <row r="25" ht="62" customHeight="1" spans="1:8">
      <c r="A25" s="6" t="s">
        <v>237</v>
      </c>
      <c r="B25" s="7" t="s">
        <v>238</v>
      </c>
      <c r="C25" s="7" t="s">
        <v>239</v>
      </c>
      <c r="D25" s="7" t="s">
        <v>133</v>
      </c>
      <c r="E25" s="8" t="s">
        <v>240</v>
      </c>
      <c r="F25" s="1"/>
      <c r="G25" s="1"/>
      <c r="H25" s="1"/>
    </row>
    <row r="26" ht="62" customHeight="1" spans="1:8">
      <c r="A26" s="9" t="s">
        <v>241</v>
      </c>
      <c r="B26" s="10" t="s">
        <v>242</v>
      </c>
      <c r="C26" s="10" t="s">
        <v>243</v>
      </c>
      <c r="D26" s="10" t="s">
        <v>244</v>
      </c>
      <c r="E26" s="11" t="s">
        <v>245</v>
      </c>
      <c r="F26" s="1"/>
      <c r="G26" s="1"/>
      <c r="H26" s="1"/>
    </row>
    <row r="27" ht="62" customHeight="1" spans="1:8">
      <c r="A27" s="9" t="s">
        <v>246</v>
      </c>
      <c r="B27" s="10" t="s">
        <v>247</v>
      </c>
      <c r="C27" s="10" t="s">
        <v>248</v>
      </c>
      <c r="D27" s="10" t="s">
        <v>249</v>
      </c>
      <c r="E27" s="11" t="s">
        <v>250</v>
      </c>
      <c r="F27" s="1"/>
      <c r="G27" s="1"/>
      <c r="H27" s="1"/>
    </row>
    <row r="28" ht="62" customHeight="1" spans="1:8">
      <c r="A28" s="9" t="s">
        <v>251</v>
      </c>
      <c r="B28" s="27" t="s">
        <v>252</v>
      </c>
      <c r="C28" s="27" t="s">
        <v>253</v>
      </c>
      <c r="D28" s="27" t="s">
        <v>254</v>
      </c>
      <c r="E28" s="28" t="s">
        <v>255</v>
      </c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895A6"/>
  </sheetPr>
  <dimension ref="A1:J22"/>
  <sheetViews>
    <sheetView showGridLines="0" tabSelected="1" zoomScale="85" zoomScaleNormal="85" workbookViewId="0">
      <pane xSplit="1" ySplit="6" topLeftCell="B7" activePane="bottomRight" state="frozen"/>
      <selection/>
      <selection pane="topRight"/>
      <selection pane="bottomLeft"/>
      <selection pane="bottomRight" activeCell="C8" sqref="C8"/>
    </sheetView>
  </sheetViews>
  <sheetFormatPr defaultColWidth="9" defaultRowHeight="16.8"/>
  <cols>
    <col min="1" max="1" width="15" customWidth="1"/>
    <col min="2" max="2" width="22" customWidth="1"/>
    <col min="3" max="3" width="48" customWidth="1"/>
    <col min="4" max="4" width="38" customWidth="1"/>
    <col min="5" max="5" width="27" customWidth="1"/>
    <col min="6" max="6" width="20" customWidth="1"/>
    <col min="7" max="7" width="15" customWidth="1"/>
    <col min="8" max="8" width="55" customWidth="1"/>
    <col min="9" max="9" width="42" customWidth="1"/>
    <col min="10" max="10" width="30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>
      <c r="A2" s="2" t="s">
        <v>256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3" t="s">
        <v>257</v>
      </c>
      <c r="B3" s="3"/>
      <c r="C3" s="3"/>
      <c r="D3" s="3"/>
      <c r="E3" s="3"/>
      <c r="F3" s="3"/>
      <c r="G3" s="3"/>
      <c r="H3" s="3"/>
      <c r="I3" s="3"/>
      <c r="J3" s="3"/>
    </row>
    <row r="4" ht="17.55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ht="42" customHeight="1" spans="1:10">
      <c r="A6" s="5" t="s">
        <v>43</v>
      </c>
      <c r="B6" s="5" t="s">
        <v>258</v>
      </c>
      <c r="C6" s="5" t="s">
        <v>259</v>
      </c>
      <c r="D6" s="5" t="s">
        <v>260</v>
      </c>
      <c r="E6" s="5" t="s">
        <v>261</v>
      </c>
      <c r="F6" s="5" t="s">
        <v>262</v>
      </c>
      <c r="G6" s="5" t="s">
        <v>263</v>
      </c>
      <c r="H6" s="5" t="s">
        <v>264</v>
      </c>
      <c r="I6" s="5" t="s">
        <v>265</v>
      </c>
      <c r="J6" s="5" t="s">
        <v>266</v>
      </c>
    </row>
    <row r="7" ht="90" customHeight="1" spans="1:10">
      <c r="A7" s="6" t="s">
        <v>267</v>
      </c>
      <c r="B7" s="7" t="s">
        <v>268</v>
      </c>
      <c r="C7" s="7" t="s">
        <v>269</v>
      </c>
      <c r="D7" s="7" t="s">
        <v>270</v>
      </c>
      <c r="E7" s="7" t="s">
        <v>271</v>
      </c>
      <c r="F7" s="7" t="s">
        <v>272</v>
      </c>
      <c r="G7" s="7" t="s">
        <v>139</v>
      </c>
      <c r="H7" s="7" t="s">
        <v>273</v>
      </c>
      <c r="I7" s="7" t="s">
        <v>274</v>
      </c>
      <c r="J7" s="8" t="s">
        <v>275</v>
      </c>
    </row>
    <row r="8" ht="90" customHeight="1" spans="1:10">
      <c r="A8" s="9" t="s">
        <v>20</v>
      </c>
      <c r="B8" s="10" t="s">
        <v>276</v>
      </c>
      <c r="C8" s="10" t="s">
        <v>277</v>
      </c>
      <c r="D8" s="10" t="s">
        <v>278</v>
      </c>
      <c r="E8" s="10" t="s">
        <v>279</v>
      </c>
      <c r="F8" s="10" t="s">
        <v>280</v>
      </c>
      <c r="G8" s="10" t="s">
        <v>139</v>
      </c>
      <c r="H8" s="10" t="s">
        <v>281</v>
      </c>
      <c r="I8" s="10" t="s">
        <v>282</v>
      </c>
      <c r="J8" s="11" t="s">
        <v>283</v>
      </c>
    </row>
    <row r="9" ht="90" customHeight="1" spans="1:10">
      <c r="A9" s="9" t="s">
        <v>133</v>
      </c>
      <c r="B9" s="10" t="s">
        <v>284</v>
      </c>
      <c r="C9" s="10" t="s">
        <v>285</v>
      </c>
      <c r="D9" s="10" t="s">
        <v>286</v>
      </c>
      <c r="E9" s="10" t="s">
        <v>287</v>
      </c>
      <c r="F9" s="10" t="s">
        <v>288</v>
      </c>
      <c r="G9" s="10" t="s">
        <v>139</v>
      </c>
      <c r="H9" s="10" t="s">
        <v>289</v>
      </c>
      <c r="I9" s="10" t="s">
        <v>290</v>
      </c>
      <c r="J9" s="11" t="s">
        <v>291</v>
      </c>
    </row>
    <row r="10" ht="90" customHeight="1" spans="1:10">
      <c r="A10" s="9" t="s">
        <v>146</v>
      </c>
      <c r="B10" s="10" t="s">
        <v>292</v>
      </c>
      <c r="C10" s="10" t="s">
        <v>293</v>
      </c>
      <c r="D10" s="10" t="s">
        <v>294</v>
      </c>
      <c r="E10" s="10" t="s">
        <v>295</v>
      </c>
      <c r="F10" s="10" t="s">
        <v>296</v>
      </c>
      <c r="G10" s="10" t="s">
        <v>139</v>
      </c>
      <c r="H10" s="10" t="s">
        <v>297</v>
      </c>
      <c r="I10" s="10" t="s">
        <v>298</v>
      </c>
      <c r="J10" s="11" t="s">
        <v>291</v>
      </c>
    </row>
    <row r="11" ht="90" customHeight="1" spans="1:10">
      <c r="A11" s="9" t="s">
        <v>156</v>
      </c>
      <c r="B11" s="10" t="s">
        <v>292</v>
      </c>
      <c r="C11" s="10" t="s">
        <v>299</v>
      </c>
      <c r="D11" s="10" t="s">
        <v>300</v>
      </c>
      <c r="E11" s="10" t="s">
        <v>301</v>
      </c>
      <c r="F11" s="10" t="s">
        <v>302</v>
      </c>
      <c r="G11" s="10" t="s">
        <v>139</v>
      </c>
      <c r="H11" s="10" t="s">
        <v>303</v>
      </c>
      <c r="I11" s="10" t="s">
        <v>304</v>
      </c>
      <c r="J11" s="11" t="s">
        <v>291</v>
      </c>
    </row>
    <row r="12" ht="90" customHeight="1" spans="1:10">
      <c r="A12" s="9" t="s">
        <v>167</v>
      </c>
      <c r="B12" s="10" t="s">
        <v>292</v>
      </c>
      <c r="C12" s="10" t="s">
        <v>305</v>
      </c>
      <c r="D12" s="10" t="s">
        <v>306</v>
      </c>
      <c r="E12" s="10" t="s">
        <v>307</v>
      </c>
      <c r="F12" s="10" t="s">
        <v>308</v>
      </c>
      <c r="G12" s="10" t="s">
        <v>139</v>
      </c>
      <c r="H12" s="10" t="s">
        <v>309</v>
      </c>
      <c r="I12" s="10" t="s">
        <v>310</v>
      </c>
      <c r="J12" s="11" t="s">
        <v>311</v>
      </c>
    </row>
    <row r="13" ht="90" customHeight="1" spans="1:10">
      <c r="A13" s="9" t="s">
        <v>177</v>
      </c>
      <c r="B13" s="10" t="s">
        <v>312</v>
      </c>
      <c r="C13" s="10" t="s">
        <v>313</v>
      </c>
      <c r="D13" s="10" t="s">
        <v>314</v>
      </c>
      <c r="E13" s="10" t="s">
        <v>315</v>
      </c>
      <c r="F13" s="10" t="s">
        <v>316</v>
      </c>
      <c r="G13" s="10" t="s">
        <v>139</v>
      </c>
      <c r="H13" s="10" t="s">
        <v>317</v>
      </c>
      <c r="I13" s="10" t="s">
        <v>318</v>
      </c>
      <c r="J13" s="11" t="s">
        <v>291</v>
      </c>
    </row>
    <row r="14" ht="90" customHeight="1" spans="1:10">
      <c r="A14" s="9" t="s">
        <v>189</v>
      </c>
      <c r="B14" s="10" t="s">
        <v>319</v>
      </c>
      <c r="C14" s="10" t="s">
        <v>320</v>
      </c>
      <c r="D14" s="10" t="s">
        <v>321</v>
      </c>
      <c r="E14" s="10" t="s">
        <v>322</v>
      </c>
      <c r="F14" s="10" t="s">
        <v>323</v>
      </c>
      <c r="G14" s="10" t="s">
        <v>139</v>
      </c>
      <c r="H14" s="10" t="s">
        <v>324</v>
      </c>
      <c r="I14" s="10" t="s">
        <v>325</v>
      </c>
      <c r="J14" s="11" t="s">
        <v>311</v>
      </c>
    </row>
    <row r="15" ht="90" customHeight="1" spans="1:10">
      <c r="A15" s="9" t="s">
        <v>244</v>
      </c>
      <c r="B15" s="10" t="s">
        <v>326</v>
      </c>
      <c r="C15" s="10" t="s">
        <v>327</v>
      </c>
      <c r="D15" s="10" t="s">
        <v>328</v>
      </c>
      <c r="E15" s="10" t="s">
        <v>329</v>
      </c>
      <c r="F15" s="10" t="s">
        <v>330</v>
      </c>
      <c r="G15" s="10" t="s">
        <v>139</v>
      </c>
      <c r="H15" s="10" t="s">
        <v>331</v>
      </c>
      <c r="I15" s="10" t="s">
        <v>332</v>
      </c>
      <c r="J15" s="11" t="s">
        <v>333</v>
      </c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46" customHeight="1" spans="1:10">
      <c r="A17" s="12" t="s">
        <v>334</v>
      </c>
      <c r="B17" s="13" t="s">
        <v>335</v>
      </c>
      <c r="C17" s="14"/>
      <c r="D17" s="14"/>
      <c r="E17" s="14"/>
      <c r="F17" s="14"/>
      <c r="G17" s="14"/>
      <c r="H17" s="14"/>
      <c r="I17" s="14"/>
      <c r="J17" s="15"/>
    </row>
    <row r="18" ht="46" customHeight="1" spans="1:10">
      <c r="A18" s="1"/>
      <c r="B18" s="16" t="s">
        <v>336</v>
      </c>
      <c r="C18" s="17"/>
      <c r="D18" s="17"/>
      <c r="E18" s="17"/>
      <c r="F18" s="17"/>
      <c r="G18" s="17"/>
      <c r="H18" s="17"/>
      <c r="I18" s="17"/>
      <c r="J18" s="18"/>
    </row>
    <row r="19" ht="46" customHeight="1" spans="1:10">
      <c r="A19" s="1"/>
      <c r="B19" s="19" t="s">
        <v>337</v>
      </c>
      <c r="C19" s="20"/>
      <c r="D19" s="20"/>
      <c r="E19" s="20"/>
      <c r="F19" s="20"/>
      <c r="G19" s="20"/>
      <c r="H19" s="20"/>
      <c r="I19" s="20"/>
      <c r="J19" s="2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4">
    <mergeCell ref="A2:D2"/>
    <mergeCell ref="B17:J17"/>
    <mergeCell ref="B18:J18"/>
    <mergeCell ref="B19:J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TAM_SAM_SOM</vt:lpstr>
      <vt:lpstr>Competitor_Analysis</vt:lpstr>
      <vt:lpstr>USP_Hypothesis</vt:lpstr>
      <vt:lpstr>Sources_Evidence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ฅ </cp:lastModifiedBy>
  <dcterms:created xsi:type="dcterms:W3CDTF">2026-09-23T17:36:33Z</dcterms:created>
  <dcterms:modified xsi:type="dcterms:W3CDTF">2026-09-23T17:50:51Z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91102C2B7FA90BD11CA0B36ADEE874F5_43</vt:lpwstr>
  </property>
</Properties>
</file>